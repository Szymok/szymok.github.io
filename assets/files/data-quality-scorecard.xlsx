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kcja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Podsumowanie" sheetId="3" state="visible" r:id="rId3"/>
    <sheet xmlns:r="http://schemas.openxmlformats.org/officeDocument/2006/relationships" name="Wymi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1F3A5F"/>
      <sz val="18"/>
    </font>
    <font>
      <i val="1"/>
      <color rgb="005A6B7F"/>
    </font>
    <font>
      <b val="1"/>
      <color rgb="001F3A5F"/>
      <sz val="13"/>
    </font>
    <font>
      <b val="1"/>
      <color rgb="001F3A5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E1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9D1DC"/>
      </left>
      <right style="thin">
        <color rgb="00C9D1DC"/>
      </right>
      <top style="thin">
        <color rgb="00C9D1DC"/>
      </top>
      <bottom style="thin">
        <color rgb="00C9D1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Data Quality Scorecard</t>
        </is>
      </c>
    </row>
    <row r="3">
      <c r="B3" s="2" t="inlineStr">
        <is>
          <t>Arkusz do mierzenia jakości danych w sześciu wymiarach. Autor: Szymon Kowalewski · skszymon.eu</t>
        </is>
      </c>
    </row>
    <row r="5">
      <c r="B5" s="3" t="inlineStr">
        <is>
          <t>Jak używać</t>
        </is>
      </c>
    </row>
    <row r="6" ht="32" customHeight="1">
      <c r="B6" s="4" t="inlineStr">
        <is>
          <t>1.  Przejdź do arkusza „Scorecard”. Cztery wiersze oznaczone PRZYKŁAD pokazują sposób wypełnienia — nadpisz je własnymi regułami.</t>
        </is>
      </c>
    </row>
    <row r="7" ht="32" customHeight="1">
      <c r="B7" s="4" t="inlineStr">
        <is>
          <t>2.  Dla każdej reguły podaj: wymiar, zbiór danych, właściciela, próg akceptacji oraz liczbę rekordów ogółem i poprawnych (żółte pola).</t>
        </is>
      </c>
    </row>
    <row r="8" ht="32" customHeight="1">
      <c r="B8" s="4" t="inlineStr">
        <is>
          <t>3.  Wynik i status liczą się automatycznie. Semafor: zielony ≥ 95%, żółty 85–95%, czerwony &lt; 85%. Osobna kolumna pokazuje, czy wynik spełnia próg konkretnej reguły.</t>
        </is>
      </c>
    </row>
    <row r="9" ht="32" customHeight="1">
      <c r="B9" s="4" t="inlineStr">
        <is>
          <t>4.  Arkusz „Podsumowanie” pokazuje średni wynik w każdym wymiarze i liczbę reguł poniżej progu — to widok dla zarządu.</t>
        </is>
      </c>
    </row>
    <row r="10" ht="32" customHeight="1">
      <c r="B10" s="4" t="inlineStr">
        <is>
          <t>5.  Zacznij od 10 krytycznych reguł, nie od 500. Każda reguła musi mieć właściciela — bez niego nikt jej nie naprawi.</t>
        </is>
      </c>
    </row>
    <row r="11">
      <c r="B11" s="3" t="inlineStr">
        <is>
          <t>Zasady</t>
        </is>
      </c>
    </row>
    <row r="12" ht="32" customHeight="1">
      <c r="B12" s="4" t="inlineStr">
        <is>
          <t>•  Mierz regularnie (dziennie/tygodniowo) i zapisuj wyniki w czasie — jednorazowy audyt szybko się dezaktualizuje.</t>
        </is>
      </c>
    </row>
    <row r="13" ht="32" customHeight="1">
      <c r="B13" s="4" t="inlineStr">
        <is>
          <t>•  Próg reguły ustala biznes, nie IT. Dla danych krytycznych (np. NIP do faktur) próg 99,5%, dla pomocniczych niższy.</t>
        </is>
      </c>
    </row>
    <row r="14" ht="32" customHeight="1">
      <c r="B14" s="4" t="inlineStr">
        <is>
          <t>•  Arkusz nie zastępuje narzędzia DQ (Ataccama, Great Expectations, dbt tests), ale pomaga ustalić, co i jak mierzyć, zanim je wdrożysz.</t>
        </is>
      </c>
    </row>
    <row r="16">
      <c r="B16" s="2" t="inlineStr">
        <is>
          <t>Licencja: do użytku własnego i wewnątrz organizacji. Prosimy o zachowanie informacji o autorze.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8" customWidth="1" min="3" max="3"/>
    <col width="20" customWidth="1" min="4" max="4"/>
    <col width="24" customWidth="1" min="5" max="5"/>
    <col width="11" customWidth="1" min="6" max="6"/>
    <col width="14" customWidth="1" min="7" max="7"/>
    <col width="14" customWidth="1" min="8" max="8"/>
    <col width="10" customWidth="1" min="9" max="9"/>
    <col width="16" customWidth="1" min="10" max="10"/>
    <col width="12" customWidth="1" min="11" max="11"/>
    <col width="16" customWidth="1" min="12" max="12"/>
    <col width="22" customWidth="1" min="13" max="13"/>
  </cols>
  <sheetData>
    <row r="1">
      <c r="A1" s="5" t="inlineStr">
        <is>
          <t>Scorecard reguł jakości danych</t>
        </is>
      </c>
    </row>
    <row r="2">
      <c r="A2" s="2" t="inlineStr">
        <is>
          <t>Żółte pola wypełniasz Ty. Kolumny I–K liczą się automatycznie.</t>
        </is>
      </c>
    </row>
    <row r="4" ht="34" customHeight="1">
      <c r="A4" s="6" t="inlineStr">
        <is>
          <t>ID</t>
        </is>
      </c>
      <c r="B4" s="6" t="inlineStr">
        <is>
          <t>Reguła</t>
        </is>
      </c>
      <c r="C4" s="6" t="inlineStr">
        <is>
          <t>Wymiar</t>
        </is>
      </c>
      <c r="D4" s="6" t="inlineStr">
        <is>
          <t>Zbiór / system</t>
        </is>
      </c>
      <c r="E4" s="6" t="inlineStr">
        <is>
          <t>Właściciel</t>
        </is>
      </c>
      <c r="F4" s="6" t="inlineStr">
        <is>
          <t>Próg reguły</t>
        </is>
      </c>
      <c r="G4" s="6" t="inlineStr">
        <is>
          <t>Rekordów ogółem</t>
        </is>
      </c>
      <c r="H4" s="6" t="inlineStr">
        <is>
          <t>Rekordów poprawnych</t>
        </is>
      </c>
      <c r="I4" s="6" t="inlineStr">
        <is>
          <t>Wynik</t>
        </is>
      </c>
      <c r="J4" s="6" t="inlineStr">
        <is>
          <t>Status (semafor)</t>
        </is>
      </c>
      <c r="K4" s="6" t="inlineStr">
        <is>
          <t>Spełnia próg?</t>
        </is>
      </c>
      <c r="L4" s="6" t="inlineStr">
        <is>
          <t>Częstotliwość pomiaru</t>
        </is>
      </c>
      <c r="M4" s="6" t="inlineStr">
        <is>
          <t>Uwagi</t>
        </is>
      </c>
    </row>
    <row r="5">
      <c r="A5" s="7" t="inlineStr">
        <is>
          <t>R-001</t>
        </is>
      </c>
      <c r="B5" s="8" t="inlineStr">
        <is>
          <t>Każdy klient ma poprawny NIP</t>
        </is>
      </c>
      <c r="C5" s="7" t="inlineStr">
        <is>
          <t>Zgodność formatu</t>
        </is>
      </c>
      <c r="D5" s="7" t="inlineStr">
        <is>
          <t>CRM / Klienci</t>
        </is>
      </c>
      <c r="E5" s="8" t="inlineStr">
        <is>
          <t>Data Steward ds. klientów</t>
        </is>
      </c>
      <c r="F5" s="9" t="n">
        <v>0.995</v>
      </c>
      <c r="G5" s="10" t="n">
        <v>48210</v>
      </c>
      <c r="H5" s="10" t="n">
        <v>47890</v>
      </c>
      <c r="I5" s="11">
        <f>IF(OR(G5="",G5=0,H5=""),"",H5/G5)</f>
        <v/>
      </c>
      <c r="J5" s="12">
        <f>IF(I5="","",IF(I5&gt;=0.95,"ZIELONY",IF(I5&gt;=0.85,"ŻÓŁTY","CZERWONY")))</f>
        <v/>
      </c>
      <c r="K5" s="12">
        <f>IF(OR(I5="",F5=""),"",IF(I5&gt;=F5,"TAK","NIE"))</f>
        <v/>
      </c>
      <c r="L5" s="7" t="inlineStr">
        <is>
          <t>dziennie</t>
        </is>
      </c>
      <c r="M5" s="8" t="inlineStr">
        <is>
          <t>PRZYKŁAD — nadpisz</t>
        </is>
      </c>
    </row>
    <row r="6">
      <c r="A6" s="7" t="inlineStr">
        <is>
          <t>R-002</t>
        </is>
      </c>
      <c r="B6" s="8" t="inlineStr">
        <is>
          <t>Pole e-mail jest wypełnione</t>
        </is>
      </c>
      <c r="C6" s="7" t="inlineStr">
        <is>
          <t>Kompletność</t>
        </is>
      </c>
      <c r="D6" s="7" t="inlineStr">
        <is>
          <t>CRM / Klienci</t>
        </is>
      </c>
      <c r="E6" s="8" t="inlineStr">
        <is>
          <t>Data Steward ds. klientów</t>
        </is>
      </c>
      <c r="F6" s="9" t="n">
        <v>0.95</v>
      </c>
      <c r="G6" s="10" t="n">
        <v>48210</v>
      </c>
      <c r="H6" s="10" t="n">
        <v>44980</v>
      </c>
      <c r="I6" s="11">
        <f>IF(OR(G6="",G6=0,H6=""),"",H6/G6)</f>
        <v/>
      </c>
      <c r="J6" s="12">
        <f>IF(I6="","",IF(I6&gt;=0.95,"ZIELONY",IF(I6&gt;=0.85,"ŻÓŁTY","CZERWONY")))</f>
        <v/>
      </c>
      <c r="K6" s="12">
        <f>IF(OR(I6="",F6=""),"",IF(I6&gt;=F6,"TAK","NIE"))</f>
        <v/>
      </c>
      <c r="L6" s="7" t="inlineStr">
        <is>
          <t>dziennie</t>
        </is>
      </c>
      <c r="M6" s="8" t="inlineStr">
        <is>
          <t>PRZYKŁAD — nadpisz</t>
        </is>
      </c>
    </row>
    <row r="7">
      <c r="A7" s="7" t="inlineStr">
        <is>
          <t>R-003</t>
        </is>
      </c>
      <c r="B7" s="8" t="inlineStr">
        <is>
          <t>Brak zduplikowanych klientów (NIP + nazwa)</t>
        </is>
      </c>
      <c r="C7" s="7" t="inlineStr">
        <is>
          <t>Unikalność</t>
        </is>
      </c>
      <c r="D7" s="7" t="inlineStr">
        <is>
          <t>CRM / Klienci</t>
        </is>
      </c>
      <c r="E7" s="8" t="inlineStr">
        <is>
          <t>Data Steward ds. klientów</t>
        </is>
      </c>
      <c r="F7" s="9" t="n">
        <v>0.98</v>
      </c>
      <c r="G7" s="10" t="n">
        <v>48210</v>
      </c>
      <c r="H7" s="10" t="n">
        <v>45300</v>
      </c>
      <c r="I7" s="11">
        <f>IF(OR(G7="",G7=0,H7=""),"",H7/G7)</f>
        <v/>
      </c>
      <c r="J7" s="12">
        <f>IF(I7="","",IF(I7&gt;=0.95,"ZIELONY",IF(I7&gt;=0.85,"ŻÓŁTY","CZERWONY")))</f>
        <v/>
      </c>
      <c r="K7" s="12">
        <f>IF(OR(I7="",F7=""),"",IF(I7&gt;=F7,"TAK","NIE"))</f>
        <v/>
      </c>
      <c r="L7" s="7" t="inlineStr">
        <is>
          <t>tygodniowo</t>
        </is>
      </c>
      <c r="M7" s="8" t="inlineStr">
        <is>
          <t>PRZYKŁAD — nadpisz</t>
        </is>
      </c>
    </row>
    <row r="8">
      <c r="A8" s="7" t="inlineStr">
        <is>
          <t>R-004</t>
        </is>
      </c>
      <c r="B8" s="8" t="inlineStr">
        <is>
          <t>Miasto w CRM = miasto w systemie fakturowym</t>
        </is>
      </c>
      <c r="C8" s="7" t="inlineStr">
        <is>
          <t>Spójność</t>
        </is>
      </c>
      <c r="D8" s="7" t="inlineStr">
        <is>
          <t>CRM vs ERP</t>
        </is>
      </c>
      <c r="E8" s="8" t="inlineStr">
        <is>
          <t>Data Owner ds. sprzedaży</t>
        </is>
      </c>
      <c r="F8" s="9" t="n">
        <v>0.97</v>
      </c>
      <c r="G8" s="10" t="n">
        <v>48210</v>
      </c>
      <c r="H8" s="10" t="n">
        <v>41050</v>
      </c>
      <c r="I8" s="11">
        <f>IF(OR(G8="",G8=0,H8=""),"",H8/G8)</f>
        <v/>
      </c>
      <c r="J8" s="12">
        <f>IF(I8="","",IF(I8&gt;=0.95,"ZIELONY",IF(I8&gt;=0.85,"ŻÓŁTY","CZERWONY")))</f>
        <v/>
      </c>
      <c r="K8" s="12">
        <f>IF(OR(I8="",F8=""),"",IF(I8&gt;=F8,"TAK","NIE"))</f>
        <v/>
      </c>
      <c r="L8" s="7" t="inlineStr">
        <is>
          <t>tygodniowo</t>
        </is>
      </c>
      <c r="M8" s="8" t="inlineStr">
        <is>
          <t>PRZYKŁAD — nadpisz</t>
        </is>
      </c>
    </row>
    <row r="9">
      <c r="A9" s="7" t="n"/>
      <c r="B9" s="8" t="n"/>
      <c r="C9" s="7" t="n"/>
      <c r="D9" s="7" t="n"/>
      <c r="E9" s="8" t="n"/>
      <c r="F9" s="9" t="n"/>
      <c r="G9" s="10" t="n"/>
      <c r="H9" s="10" t="n"/>
      <c r="I9" s="11">
        <f>IF(OR(G9="",G9=0,H9=""),"",H9/G9)</f>
        <v/>
      </c>
      <c r="J9" s="12">
        <f>IF(I9="","",IF(I9&gt;=0.95,"ZIELONY",IF(I9&gt;=0.85,"ŻÓŁTY","CZERWONY")))</f>
        <v/>
      </c>
      <c r="K9" s="12">
        <f>IF(OR(I9="",F9=""),"",IF(I9&gt;=F9,"TAK","NIE"))</f>
        <v/>
      </c>
      <c r="L9" s="7" t="n"/>
      <c r="M9" s="8" t="n"/>
    </row>
    <row r="10">
      <c r="A10" s="7" t="n"/>
      <c r="B10" s="8" t="n"/>
      <c r="C10" s="7" t="n"/>
      <c r="D10" s="7" t="n"/>
      <c r="E10" s="8" t="n"/>
      <c r="F10" s="9" t="n"/>
      <c r="G10" s="10" t="n"/>
      <c r="H10" s="10" t="n"/>
      <c r="I10" s="11">
        <f>IF(OR(G10="",G10=0,H10=""),"",H10/G10)</f>
        <v/>
      </c>
      <c r="J10" s="12">
        <f>IF(I10="","",IF(I10&gt;=0.95,"ZIELONY",IF(I10&gt;=0.85,"ŻÓŁTY","CZERWONY")))</f>
        <v/>
      </c>
      <c r="K10" s="12">
        <f>IF(OR(I10="",F10=""),"",IF(I10&gt;=F10,"TAK","NIE"))</f>
        <v/>
      </c>
      <c r="L10" s="7" t="n"/>
      <c r="M10" s="8" t="n"/>
    </row>
    <row r="11">
      <c r="A11" s="7" t="n"/>
      <c r="B11" s="8" t="n"/>
      <c r="C11" s="7" t="n"/>
      <c r="D11" s="7" t="n"/>
      <c r="E11" s="8" t="n"/>
      <c r="F11" s="9" t="n"/>
      <c r="G11" s="10" t="n"/>
      <c r="H11" s="10" t="n"/>
      <c r="I11" s="11">
        <f>IF(OR(G11="",G11=0,H11=""),"",H11/G11)</f>
        <v/>
      </c>
      <c r="J11" s="12">
        <f>IF(I11="","",IF(I11&gt;=0.95,"ZIELONY",IF(I11&gt;=0.85,"ŻÓŁTY","CZERWONY")))</f>
        <v/>
      </c>
      <c r="K11" s="12">
        <f>IF(OR(I11="",F11=""),"",IF(I11&gt;=F11,"TAK","NIE"))</f>
        <v/>
      </c>
      <c r="L11" s="7" t="n"/>
      <c r="M11" s="8" t="n"/>
    </row>
    <row r="12">
      <c r="A12" s="7" t="n"/>
      <c r="B12" s="8" t="n"/>
      <c r="C12" s="7" t="n"/>
      <c r="D12" s="7" t="n"/>
      <c r="E12" s="8" t="n"/>
      <c r="F12" s="9" t="n"/>
      <c r="G12" s="10" t="n"/>
      <c r="H12" s="10" t="n"/>
      <c r="I12" s="11">
        <f>IF(OR(G12="",G12=0,H12=""),"",H12/G12)</f>
        <v/>
      </c>
      <c r="J12" s="12">
        <f>IF(I12="","",IF(I12&gt;=0.95,"ZIELONY",IF(I12&gt;=0.85,"ŻÓŁTY","CZERWONY")))</f>
        <v/>
      </c>
      <c r="K12" s="12">
        <f>IF(OR(I12="",F12=""),"",IF(I12&gt;=F12,"TAK","NIE"))</f>
        <v/>
      </c>
      <c r="L12" s="7" t="n"/>
      <c r="M12" s="8" t="n"/>
    </row>
    <row r="13">
      <c r="A13" s="7" t="n"/>
      <c r="B13" s="8" t="n"/>
      <c r="C13" s="7" t="n"/>
      <c r="D13" s="7" t="n"/>
      <c r="E13" s="8" t="n"/>
      <c r="F13" s="9" t="n"/>
      <c r="G13" s="10" t="n"/>
      <c r="H13" s="10" t="n"/>
      <c r="I13" s="11">
        <f>IF(OR(G13="",G13=0,H13=""),"",H13/G13)</f>
        <v/>
      </c>
      <c r="J13" s="12">
        <f>IF(I13="","",IF(I13&gt;=0.95,"ZIELONY",IF(I13&gt;=0.85,"ŻÓŁTY","CZERWONY")))</f>
        <v/>
      </c>
      <c r="K13" s="12">
        <f>IF(OR(I13="",F13=""),"",IF(I13&gt;=F13,"TAK","NIE"))</f>
        <v/>
      </c>
      <c r="L13" s="7" t="n"/>
      <c r="M13" s="8" t="n"/>
    </row>
    <row r="14">
      <c r="A14" s="7" t="n"/>
      <c r="B14" s="8" t="n"/>
      <c r="C14" s="7" t="n"/>
      <c r="D14" s="7" t="n"/>
      <c r="E14" s="8" t="n"/>
      <c r="F14" s="9" t="n"/>
      <c r="G14" s="10" t="n"/>
      <c r="H14" s="10" t="n"/>
      <c r="I14" s="11">
        <f>IF(OR(G14="",G14=0,H14=""),"",H14/G14)</f>
        <v/>
      </c>
      <c r="J14" s="12">
        <f>IF(I14="","",IF(I14&gt;=0.95,"ZIELONY",IF(I14&gt;=0.85,"ŻÓŁTY","CZERWONY")))</f>
        <v/>
      </c>
      <c r="K14" s="12">
        <f>IF(OR(I14="",F14=""),"",IF(I14&gt;=F14,"TAK","NIE"))</f>
        <v/>
      </c>
      <c r="L14" s="7" t="n"/>
      <c r="M14" s="8" t="n"/>
    </row>
    <row r="15">
      <c r="A15" s="7" t="n"/>
      <c r="B15" s="8" t="n"/>
      <c r="C15" s="7" t="n"/>
      <c r="D15" s="7" t="n"/>
      <c r="E15" s="8" t="n"/>
      <c r="F15" s="9" t="n"/>
      <c r="G15" s="10" t="n"/>
      <c r="H15" s="10" t="n"/>
      <c r="I15" s="11">
        <f>IF(OR(G15="",G15=0,H15=""),"",H15/G15)</f>
        <v/>
      </c>
      <c r="J15" s="12">
        <f>IF(I15="","",IF(I15&gt;=0.95,"ZIELONY",IF(I15&gt;=0.85,"ŻÓŁTY","CZERWONY")))</f>
        <v/>
      </c>
      <c r="K15" s="12">
        <f>IF(OR(I15="",F15=""),"",IF(I15&gt;=F15,"TAK","NIE"))</f>
        <v/>
      </c>
      <c r="L15" s="7" t="n"/>
      <c r="M15" s="8" t="n"/>
    </row>
    <row r="16">
      <c r="A16" s="7" t="n"/>
      <c r="B16" s="8" t="n"/>
      <c r="C16" s="7" t="n"/>
      <c r="D16" s="7" t="n"/>
      <c r="E16" s="8" t="n"/>
      <c r="F16" s="9" t="n"/>
      <c r="G16" s="10" t="n"/>
      <c r="H16" s="10" t="n"/>
      <c r="I16" s="11">
        <f>IF(OR(G16="",G16=0,H16=""),"",H16/G16)</f>
        <v/>
      </c>
      <c r="J16" s="12">
        <f>IF(I16="","",IF(I16&gt;=0.95,"ZIELONY",IF(I16&gt;=0.85,"ŻÓŁTY","CZERWONY")))</f>
        <v/>
      </c>
      <c r="K16" s="12">
        <f>IF(OR(I16="",F16=""),"",IF(I16&gt;=F16,"TAK","NIE"))</f>
        <v/>
      </c>
      <c r="L16" s="7" t="n"/>
      <c r="M16" s="8" t="n"/>
    </row>
    <row r="17">
      <c r="A17" s="7" t="n"/>
      <c r="B17" s="8" t="n"/>
      <c r="C17" s="7" t="n"/>
      <c r="D17" s="7" t="n"/>
      <c r="E17" s="8" t="n"/>
      <c r="F17" s="9" t="n"/>
      <c r="G17" s="10" t="n"/>
      <c r="H17" s="10" t="n"/>
      <c r="I17" s="11">
        <f>IF(OR(G17="",G17=0,H17=""),"",H17/G17)</f>
        <v/>
      </c>
      <c r="J17" s="12">
        <f>IF(I17="","",IF(I17&gt;=0.95,"ZIELONY",IF(I17&gt;=0.85,"ŻÓŁTY","CZERWONY")))</f>
        <v/>
      </c>
      <c r="K17" s="12">
        <f>IF(OR(I17="",F17=""),"",IF(I17&gt;=F17,"TAK","NIE"))</f>
        <v/>
      </c>
      <c r="L17" s="7" t="n"/>
      <c r="M17" s="8" t="n"/>
    </row>
    <row r="18">
      <c r="A18" s="7" t="n"/>
      <c r="B18" s="8" t="n"/>
      <c r="C18" s="7" t="n"/>
      <c r="D18" s="7" t="n"/>
      <c r="E18" s="8" t="n"/>
      <c r="F18" s="9" t="n"/>
      <c r="G18" s="10" t="n"/>
      <c r="H18" s="10" t="n"/>
      <c r="I18" s="11">
        <f>IF(OR(G18="",G18=0,H18=""),"",H18/G18)</f>
        <v/>
      </c>
      <c r="J18" s="12">
        <f>IF(I18="","",IF(I18&gt;=0.95,"ZIELONY",IF(I18&gt;=0.85,"ŻÓŁTY","CZERWONY")))</f>
        <v/>
      </c>
      <c r="K18" s="12">
        <f>IF(OR(I18="",F18=""),"",IF(I18&gt;=F18,"TAK","NIE"))</f>
        <v/>
      </c>
      <c r="L18" s="7" t="n"/>
      <c r="M18" s="8" t="n"/>
    </row>
    <row r="19">
      <c r="A19" s="7" t="n"/>
      <c r="B19" s="8" t="n"/>
      <c r="C19" s="7" t="n"/>
      <c r="D19" s="7" t="n"/>
      <c r="E19" s="8" t="n"/>
      <c r="F19" s="9" t="n"/>
      <c r="G19" s="10" t="n"/>
      <c r="H19" s="10" t="n"/>
      <c r="I19" s="11">
        <f>IF(OR(G19="",G19=0,H19=""),"",H19/G19)</f>
        <v/>
      </c>
      <c r="J19" s="12">
        <f>IF(I19="","",IF(I19&gt;=0.95,"ZIELONY",IF(I19&gt;=0.85,"ŻÓŁTY","CZERWONY")))</f>
        <v/>
      </c>
      <c r="K19" s="12">
        <f>IF(OR(I19="",F19=""),"",IF(I19&gt;=F19,"TAK","NIE"))</f>
        <v/>
      </c>
      <c r="L19" s="7" t="n"/>
      <c r="M19" s="8" t="n"/>
    </row>
    <row r="20">
      <c r="A20" s="7" t="n"/>
      <c r="B20" s="8" t="n"/>
      <c r="C20" s="7" t="n"/>
      <c r="D20" s="7" t="n"/>
      <c r="E20" s="8" t="n"/>
      <c r="F20" s="9" t="n"/>
      <c r="G20" s="10" t="n"/>
      <c r="H20" s="10" t="n"/>
      <c r="I20" s="11">
        <f>IF(OR(G20="",G20=0,H20=""),"",H20/G20)</f>
        <v/>
      </c>
      <c r="J20" s="12">
        <f>IF(I20="","",IF(I20&gt;=0.95,"ZIELONY",IF(I20&gt;=0.85,"ŻÓŁTY","CZERWONY")))</f>
        <v/>
      </c>
      <c r="K20" s="12">
        <f>IF(OR(I20="",F20=""),"",IF(I20&gt;=F20,"TAK","NIE"))</f>
        <v/>
      </c>
      <c r="L20" s="7" t="n"/>
      <c r="M20" s="8" t="n"/>
    </row>
    <row r="21">
      <c r="A21" s="7" t="n"/>
      <c r="B21" s="8" t="n"/>
      <c r="C21" s="7" t="n"/>
      <c r="D21" s="7" t="n"/>
      <c r="E21" s="8" t="n"/>
      <c r="F21" s="9" t="n"/>
      <c r="G21" s="10" t="n"/>
      <c r="H21" s="10" t="n"/>
      <c r="I21" s="11">
        <f>IF(OR(G21="",G21=0,H21=""),"",H21/G21)</f>
        <v/>
      </c>
      <c r="J21" s="12">
        <f>IF(I21="","",IF(I21&gt;=0.95,"ZIELONY",IF(I21&gt;=0.85,"ŻÓŁTY","CZERWONY")))</f>
        <v/>
      </c>
      <c r="K21" s="12">
        <f>IF(OR(I21="",F21=""),"",IF(I21&gt;=F21,"TAK","NIE"))</f>
        <v/>
      </c>
      <c r="L21" s="7" t="n"/>
      <c r="M21" s="8" t="n"/>
    </row>
    <row r="22">
      <c r="A22" s="7" t="n"/>
      <c r="B22" s="8" t="n"/>
      <c r="C22" s="7" t="n"/>
      <c r="D22" s="7" t="n"/>
      <c r="E22" s="8" t="n"/>
      <c r="F22" s="9" t="n"/>
      <c r="G22" s="10" t="n"/>
      <c r="H22" s="10" t="n"/>
      <c r="I22" s="11">
        <f>IF(OR(G22="",G22=0,H22=""),"",H22/G22)</f>
        <v/>
      </c>
      <c r="J22" s="12">
        <f>IF(I22="","",IF(I22&gt;=0.95,"ZIELONY",IF(I22&gt;=0.85,"ŻÓŁTY","CZERWONY")))</f>
        <v/>
      </c>
      <c r="K22" s="12">
        <f>IF(OR(I22="",F22=""),"",IF(I22&gt;=F22,"TAK","NIE"))</f>
        <v/>
      </c>
      <c r="L22" s="7" t="n"/>
      <c r="M22" s="8" t="n"/>
    </row>
    <row r="23">
      <c r="A23" s="7" t="n"/>
      <c r="B23" s="8" t="n"/>
      <c r="C23" s="7" t="n"/>
      <c r="D23" s="7" t="n"/>
      <c r="E23" s="8" t="n"/>
      <c r="F23" s="9" t="n"/>
      <c r="G23" s="10" t="n"/>
      <c r="H23" s="10" t="n"/>
      <c r="I23" s="11">
        <f>IF(OR(G23="",G23=0,H23=""),"",H23/G23)</f>
        <v/>
      </c>
      <c r="J23" s="12">
        <f>IF(I23="","",IF(I23&gt;=0.95,"ZIELONY",IF(I23&gt;=0.85,"ŻÓŁTY","CZERWONY")))</f>
        <v/>
      </c>
      <c r="K23" s="12">
        <f>IF(OR(I23="",F23=""),"",IF(I23&gt;=F23,"TAK","NIE"))</f>
        <v/>
      </c>
      <c r="L23" s="7" t="n"/>
      <c r="M23" s="8" t="n"/>
    </row>
    <row r="24">
      <c r="A24" s="7" t="n"/>
      <c r="B24" s="8" t="n"/>
      <c r="C24" s="7" t="n"/>
      <c r="D24" s="7" t="n"/>
      <c r="E24" s="8" t="n"/>
      <c r="F24" s="9" t="n"/>
      <c r="G24" s="10" t="n"/>
      <c r="H24" s="10" t="n"/>
      <c r="I24" s="11">
        <f>IF(OR(G24="",G24=0,H24=""),"",H24/G24)</f>
        <v/>
      </c>
      <c r="J24" s="12">
        <f>IF(I24="","",IF(I24&gt;=0.95,"ZIELONY",IF(I24&gt;=0.85,"ŻÓŁTY","CZERWONY")))</f>
        <v/>
      </c>
      <c r="K24" s="12">
        <f>IF(OR(I24="",F24=""),"",IF(I24&gt;=F24,"TAK","NIE"))</f>
        <v/>
      </c>
      <c r="L24" s="7" t="n"/>
      <c r="M24" s="8" t="n"/>
    </row>
    <row r="25">
      <c r="A25" s="7" t="n"/>
      <c r="B25" s="8" t="n"/>
      <c r="C25" s="7" t="n"/>
      <c r="D25" s="7" t="n"/>
      <c r="E25" s="8" t="n"/>
      <c r="F25" s="9" t="n"/>
      <c r="G25" s="10" t="n"/>
      <c r="H25" s="10" t="n"/>
      <c r="I25" s="11">
        <f>IF(OR(G25="",G25=0,H25=""),"",H25/G25)</f>
        <v/>
      </c>
      <c r="J25" s="12">
        <f>IF(I25="","",IF(I25&gt;=0.95,"ZIELONY",IF(I25&gt;=0.85,"ŻÓŁTY","CZERWONY")))</f>
        <v/>
      </c>
      <c r="K25" s="12">
        <f>IF(OR(I25="",F25=""),"",IF(I25&gt;=F25,"TAK","NIE"))</f>
        <v/>
      </c>
      <c r="L25" s="7" t="n"/>
      <c r="M25" s="8" t="n"/>
    </row>
    <row r="26">
      <c r="A26" s="7" t="n"/>
      <c r="B26" s="8" t="n"/>
      <c r="C26" s="7" t="n"/>
      <c r="D26" s="7" t="n"/>
      <c r="E26" s="8" t="n"/>
      <c r="F26" s="9" t="n"/>
      <c r="G26" s="10" t="n"/>
      <c r="H26" s="10" t="n"/>
      <c r="I26" s="11">
        <f>IF(OR(G26="",G26=0,H26=""),"",H26/G26)</f>
        <v/>
      </c>
      <c r="J26" s="12">
        <f>IF(I26="","",IF(I26&gt;=0.95,"ZIELONY",IF(I26&gt;=0.85,"ŻÓŁTY","CZERWONY")))</f>
        <v/>
      </c>
      <c r="K26" s="12">
        <f>IF(OR(I26="",F26=""),"",IF(I26&gt;=F26,"TAK","NIE"))</f>
        <v/>
      </c>
      <c r="L26" s="7" t="n"/>
      <c r="M26" s="8" t="n"/>
    </row>
    <row r="27">
      <c r="A27" s="7" t="n"/>
      <c r="B27" s="8" t="n"/>
      <c r="C27" s="7" t="n"/>
      <c r="D27" s="7" t="n"/>
      <c r="E27" s="8" t="n"/>
      <c r="F27" s="9" t="n"/>
      <c r="G27" s="10" t="n"/>
      <c r="H27" s="10" t="n"/>
      <c r="I27" s="11">
        <f>IF(OR(G27="",G27=0,H27=""),"",H27/G27)</f>
        <v/>
      </c>
      <c r="J27" s="12">
        <f>IF(I27="","",IF(I27&gt;=0.95,"ZIELONY",IF(I27&gt;=0.85,"ŻÓŁTY","CZERWONY")))</f>
        <v/>
      </c>
      <c r="K27" s="12">
        <f>IF(OR(I27="",F27=""),"",IF(I27&gt;=F27,"TAK","NIE"))</f>
        <v/>
      </c>
      <c r="L27" s="7" t="n"/>
      <c r="M27" s="8" t="n"/>
    </row>
    <row r="28">
      <c r="A28" s="7" t="n"/>
      <c r="B28" s="8" t="n"/>
      <c r="C28" s="7" t="n"/>
      <c r="D28" s="7" t="n"/>
      <c r="E28" s="8" t="n"/>
      <c r="F28" s="9" t="n"/>
      <c r="G28" s="10" t="n"/>
      <c r="H28" s="10" t="n"/>
      <c r="I28" s="11">
        <f>IF(OR(G28="",G28=0,H28=""),"",H28/G28)</f>
        <v/>
      </c>
      <c r="J28" s="12">
        <f>IF(I28="","",IF(I28&gt;=0.95,"ZIELONY",IF(I28&gt;=0.85,"ŻÓŁTY","CZERWONY")))</f>
        <v/>
      </c>
      <c r="K28" s="12">
        <f>IF(OR(I28="",F28=""),"",IF(I28&gt;=F28,"TAK","NIE"))</f>
        <v/>
      </c>
      <c r="L28" s="7" t="n"/>
      <c r="M28" s="8" t="n"/>
    </row>
    <row r="29">
      <c r="A29" s="7" t="n"/>
      <c r="B29" s="8" t="n"/>
      <c r="C29" s="7" t="n"/>
      <c r="D29" s="7" t="n"/>
      <c r="E29" s="8" t="n"/>
      <c r="F29" s="9" t="n"/>
      <c r="G29" s="10" t="n"/>
      <c r="H29" s="10" t="n"/>
      <c r="I29" s="11">
        <f>IF(OR(G29="",G29=0,H29=""),"",H29/G29)</f>
        <v/>
      </c>
      <c r="J29" s="12">
        <f>IF(I29="","",IF(I29&gt;=0.95,"ZIELONY",IF(I29&gt;=0.85,"ŻÓŁTY","CZERWONY")))</f>
        <v/>
      </c>
      <c r="K29" s="12">
        <f>IF(OR(I29="",F29=""),"",IF(I29&gt;=F29,"TAK","NIE"))</f>
        <v/>
      </c>
      <c r="L29" s="7" t="n"/>
      <c r="M29" s="8" t="n"/>
    </row>
    <row r="30">
      <c r="A30" s="7" t="n"/>
      <c r="B30" s="8" t="n"/>
      <c r="C30" s="7" t="n"/>
      <c r="D30" s="7" t="n"/>
      <c r="E30" s="8" t="n"/>
      <c r="F30" s="9" t="n"/>
      <c r="G30" s="10" t="n"/>
      <c r="H30" s="10" t="n"/>
      <c r="I30" s="11">
        <f>IF(OR(G30="",G30=0,H30=""),"",H30/G30)</f>
        <v/>
      </c>
      <c r="J30" s="12">
        <f>IF(I30="","",IF(I30&gt;=0.95,"ZIELONY",IF(I30&gt;=0.85,"ŻÓŁTY","CZERWONY")))</f>
        <v/>
      </c>
      <c r="K30" s="12">
        <f>IF(OR(I30="",F30=""),"",IF(I30&gt;=F30,"TAK","NIE"))</f>
        <v/>
      </c>
      <c r="L30" s="7" t="n"/>
      <c r="M30" s="8" t="n"/>
    </row>
    <row r="31">
      <c r="A31" s="7" t="n"/>
      <c r="B31" s="8" t="n"/>
      <c r="C31" s="7" t="n"/>
      <c r="D31" s="7" t="n"/>
      <c r="E31" s="8" t="n"/>
      <c r="F31" s="9" t="n"/>
      <c r="G31" s="10" t="n"/>
      <c r="H31" s="10" t="n"/>
      <c r="I31" s="11">
        <f>IF(OR(G31="",G31=0,H31=""),"",H31/G31)</f>
        <v/>
      </c>
      <c r="J31" s="12">
        <f>IF(I31="","",IF(I31&gt;=0.95,"ZIELONY",IF(I31&gt;=0.85,"ŻÓŁTY","CZERWONY")))</f>
        <v/>
      </c>
      <c r="K31" s="12">
        <f>IF(OR(I31="",F31=""),"",IF(I31&gt;=F31,"TAK","NIE"))</f>
        <v/>
      </c>
      <c r="L31" s="7" t="n"/>
      <c r="M31" s="8" t="n"/>
    </row>
    <row r="32">
      <c r="A32" s="7" t="n"/>
      <c r="B32" s="8" t="n"/>
      <c r="C32" s="7" t="n"/>
      <c r="D32" s="7" t="n"/>
      <c r="E32" s="8" t="n"/>
      <c r="F32" s="9" t="n"/>
      <c r="G32" s="10" t="n"/>
      <c r="H32" s="10" t="n"/>
      <c r="I32" s="11">
        <f>IF(OR(G32="",G32=0,H32=""),"",H32/G32)</f>
        <v/>
      </c>
      <c r="J32" s="12">
        <f>IF(I32="","",IF(I32&gt;=0.95,"ZIELONY",IF(I32&gt;=0.85,"ŻÓŁTY","CZERWONY")))</f>
        <v/>
      </c>
      <c r="K32" s="12">
        <f>IF(OR(I32="",F32=""),"",IF(I32&gt;=F32,"TAK","NIE"))</f>
        <v/>
      </c>
      <c r="L32" s="7" t="n"/>
      <c r="M32" s="8" t="n"/>
    </row>
    <row r="33">
      <c r="A33" s="7" t="n"/>
      <c r="B33" s="8" t="n"/>
      <c r="C33" s="7" t="n"/>
      <c r="D33" s="7" t="n"/>
      <c r="E33" s="8" t="n"/>
      <c r="F33" s="9" t="n"/>
      <c r="G33" s="10" t="n"/>
      <c r="H33" s="10" t="n"/>
      <c r="I33" s="11">
        <f>IF(OR(G33="",G33=0,H33=""),"",H33/G33)</f>
        <v/>
      </c>
      <c r="J33" s="12">
        <f>IF(I33="","",IF(I33&gt;=0.95,"ZIELONY",IF(I33&gt;=0.85,"ŻÓŁTY","CZERWONY")))</f>
        <v/>
      </c>
      <c r="K33" s="12">
        <f>IF(OR(I33="",F33=""),"",IF(I33&gt;=F33,"TAK","NIE"))</f>
        <v/>
      </c>
      <c r="L33" s="7" t="n"/>
      <c r="M33" s="8" t="n"/>
    </row>
    <row r="34">
      <c r="A34" s="7" t="n"/>
      <c r="B34" s="8" t="n"/>
      <c r="C34" s="7" t="n"/>
      <c r="D34" s="7" t="n"/>
      <c r="E34" s="8" t="n"/>
      <c r="F34" s="9" t="n"/>
      <c r="G34" s="10" t="n"/>
      <c r="H34" s="10" t="n"/>
      <c r="I34" s="11">
        <f>IF(OR(G34="",G34=0,H34=""),"",H34/G34)</f>
        <v/>
      </c>
      <c r="J34" s="12">
        <f>IF(I34="","",IF(I34&gt;=0.95,"ZIELONY",IF(I34&gt;=0.85,"ŻÓŁTY","CZERWONY")))</f>
        <v/>
      </c>
      <c r="K34" s="12">
        <f>IF(OR(I34="",F34=""),"",IF(I34&gt;=F34,"TAK","NIE"))</f>
        <v/>
      </c>
      <c r="L34" s="7" t="n"/>
      <c r="M34" s="8" t="n"/>
    </row>
    <row r="35">
      <c r="A35" s="7" t="n"/>
      <c r="B35" s="8" t="n"/>
      <c r="C35" s="7" t="n"/>
      <c r="D35" s="7" t="n"/>
      <c r="E35" s="8" t="n"/>
      <c r="F35" s="9" t="n"/>
      <c r="G35" s="10" t="n"/>
      <c r="H35" s="10" t="n"/>
      <c r="I35" s="11">
        <f>IF(OR(G35="",G35=0,H35=""),"",H35/G35)</f>
        <v/>
      </c>
      <c r="J35" s="12">
        <f>IF(I35="","",IF(I35&gt;=0.95,"ZIELONY",IF(I35&gt;=0.85,"ŻÓŁTY","CZERWONY")))</f>
        <v/>
      </c>
      <c r="K35" s="12">
        <f>IF(OR(I35="",F35=""),"",IF(I35&gt;=F35,"TAK","NIE"))</f>
        <v/>
      </c>
      <c r="L35" s="7" t="n"/>
      <c r="M35" s="8" t="n"/>
    </row>
    <row r="36">
      <c r="A36" s="7" t="n"/>
      <c r="B36" s="8" t="n"/>
      <c r="C36" s="7" t="n"/>
      <c r="D36" s="7" t="n"/>
      <c r="E36" s="8" t="n"/>
      <c r="F36" s="9" t="n"/>
      <c r="G36" s="10" t="n"/>
      <c r="H36" s="10" t="n"/>
      <c r="I36" s="11">
        <f>IF(OR(G36="",G36=0,H36=""),"",H36/G36)</f>
        <v/>
      </c>
      <c r="J36" s="12">
        <f>IF(I36="","",IF(I36&gt;=0.95,"ZIELONY",IF(I36&gt;=0.85,"ŻÓŁTY","CZERWONY")))</f>
        <v/>
      </c>
      <c r="K36" s="12">
        <f>IF(OR(I36="",F36=""),"",IF(I36&gt;=F36,"TAK","NIE"))</f>
        <v/>
      </c>
      <c r="L36" s="7" t="n"/>
      <c r="M36" s="8" t="n"/>
    </row>
    <row r="37">
      <c r="A37" s="7" t="n"/>
      <c r="B37" s="8" t="n"/>
      <c r="C37" s="7" t="n"/>
      <c r="D37" s="7" t="n"/>
      <c r="E37" s="8" t="n"/>
      <c r="F37" s="9" t="n"/>
      <c r="G37" s="10" t="n"/>
      <c r="H37" s="10" t="n"/>
      <c r="I37" s="11">
        <f>IF(OR(G37="",G37=0,H37=""),"",H37/G37)</f>
        <v/>
      </c>
      <c r="J37" s="12">
        <f>IF(I37="","",IF(I37&gt;=0.95,"ZIELONY",IF(I37&gt;=0.85,"ŻÓŁTY","CZERWONY")))</f>
        <v/>
      </c>
      <c r="K37" s="12">
        <f>IF(OR(I37="",F37=""),"",IF(I37&gt;=F37,"TAK","NIE"))</f>
        <v/>
      </c>
      <c r="L37" s="7" t="n"/>
      <c r="M37" s="8" t="n"/>
    </row>
    <row r="38">
      <c r="A38" s="7" t="n"/>
      <c r="B38" s="8" t="n"/>
      <c r="C38" s="7" t="n"/>
      <c r="D38" s="7" t="n"/>
      <c r="E38" s="8" t="n"/>
      <c r="F38" s="9" t="n"/>
      <c r="G38" s="10" t="n"/>
      <c r="H38" s="10" t="n"/>
      <c r="I38" s="11">
        <f>IF(OR(G38="",G38=0,H38=""),"",H38/G38)</f>
        <v/>
      </c>
      <c r="J38" s="12">
        <f>IF(I38="","",IF(I38&gt;=0.95,"ZIELONY",IF(I38&gt;=0.85,"ŻÓŁTY","CZERWONY")))</f>
        <v/>
      </c>
      <c r="K38" s="12">
        <f>IF(OR(I38="",F38=""),"",IF(I38&gt;=F38,"TAK","NIE"))</f>
        <v/>
      </c>
      <c r="L38" s="7" t="n"/>
      <c r="M38" s="8" t="n"/>
    </row>
    <row r="39">
      <c r="A39" s="7" t="n"/>
      <c r="B39" s="8" t="n"/>
      <c r="C39" s="7" t="n"/>
      <c r="D39" s="7" t="n"/>
      <c r="E39" s="8" t="n"/>
      <c r="F39" s="9" t="n"/>
      <c r="G39" s="10" t="n"/>
      <c r="H39" s="10" t="n"/>
      <c r="I39" s="11">
        <f>IF(OR(G39="",G39=0,H39=""),"",H39/G39)</f>
        <v/>
      </c>
      <c r="J39" s="12">
        <f>IF(I39="","",IF(I39&gt;=0.95,"ZIELONY",IF(I39&gt;=0.85,"ŻÓŁTY","CZERWONY")))</f>
        <v/>
      </c>
      <c r="K39" s="12">
        <f>IF(OR(I39="",F39=""),"",IF(I39&gt;=F39,"TAK","NIE"))</f>
        <v/>
      </c>
      <c r="L39" s="7" t="n"/>
      <c r="M39" s="8" t="n"/>
    </row>
    <row r="40">
      <c r="A40" s="7" t="n"/>
      <c r="B40" s="8" t="n"/>
      <c r="C40" s="7" t="n"/>
      <c r="D40" s="7" t="n"/>
      <c r="E40" s="8" t="n"/>
      <c r="F40" s="9" t="n"/>
      <c r="G40" s="10" t="n"/>
      <c r="H40" s="10" t="n"/>
      <c r="I40" s="11">
        <f>IF(OR(G40="",G40=0,H40=""),"",H40/G40)</f>
        <v/>
      </c>
      <c r="J40" s="12">
        <f>IF(I40="","",IF(I40&gt;=0.95,"ZIELONY",IF(I40&gt;=0.85,"ŻÓŁTY","CZERWONY")))</f>
        <v/>
      </c>
      <c r="K40" s="12">
        <f>IF(OR(I40="",F40=""),"",IF(I40&gt;=F40,"TAK","NIE"))</f>
        <v/>
      </c>
      <c r="L40" s="7" t="n"/>
      <c r="M40" s="8" t="n"/>
    </row>
    <row r="41">
      <c r="A41" s="7" t="n"/>
      <c r="B41" s="8" t="n"/>
      <c r="C41" s="7" t="n"/>
      <c r="D41" s="7" t="n"/>
      <c r="E41" s="8" t="n"/>
      <c r="F41" s="9" t="n"/>
      <c r="G41" s="10" t="n"/>
      <c r="H41" s="10" t="n"/>
      <c r="I41" s="11">
        <f>IF(OR(G41="",G41=0,H41=""),"",H41/G41)</f>
        <v/>
      </c>
      <c r="J41" s="12">
        <f>IF(I41="","",IF(I41&gt;=0.95,"ZIELONY",IF(I41&gt;=0.85,"ŻÓŁTY","CZERWONY")))</f>
        <v/>
      </c>
      <c r="K41" s="12">
        <f>IF(OR(I41="",F41=""),"",IF(I41&gt;=F41,"TAK","NIE"))</f>
        <v/>
      </c>
      <c r="L41" s="7" t="n"/>
      <c r="M41" s="8" t="n"/>
    </row>
    <row r="42">
      <c r="A42" s="7" t="n"/>
      <c r="B42" s="8" t="n"/>
      <c r="C42" s="7" t="n"/>
      <c r="D42" s="7" t="n"/>
      <c r="E42" s="8" t="n"/>
      <c r="F42" s="9" t="n"/>
      <c r="G42" s="10" t="n"/>
      <c r="H42" s="10" t="n"/>
      <c r="I42" s="11">
        <f>IF(OR(G42="",G42=0,H42=""),"",H42/G42)</f>
        <v/>
      </c>
      <c r="J42" s="12">
        <f>IF(I42="","",IF(I42&gt;=0.95,"ZIELONY",IF(I42&gt;=0.85,"ŻÓŁTY","CZERWONY")))</f>
        <v/>
      </c>
      <c r="K42" s="12">
        <f>IF(OR(I42="",F42=""),"",IF(I42&gt;=F42,"TAK","NIE"))</f>
        <v/>
      </c>
      <c r="L42" s="7" t="n"/>
      <c r="M42" s="8" t="n"/>
    </row>
    <row r="43">
      <c r="A43" s="7" t="n"/>
      <c r="B43" s="8" t="n"/>
      <c r="C43" s="7" t="n"/>
      <c r="D43" s="7" t="n"/>
      <c r="E43" s="8" t="n"/>
      <c r="F43" s="9" t="n"/>
      <c r="G43" s="10" t="n"/>
      <c r="H43" s="10" t="n"/>
      <c r="I43" s="11">
        <f>IF(OR(G43="",G43=0,H43=""),"",H43/G43)</f>
        <v/>
      </c>
      <c r="J43" s="12">
        <f>IF(I43="","",IF(I43&gt;=0.95,"ZIELONY",IF(I43&gt;=0.85,"ŻÓŁTY","CZERWONY")))</f>
        <v/>
      </c>
      <c r="K43" s="12">
        <f>IF(OR(I43="",F43=""),"",IF(I43&gt;=F43,"TAK","NIE"))</f>
        <v/>
      </c>
      <c r="L43" s="7" t="n"/>
      <c r="M43" s="8" t="n"/>
    </row>
    <row r="44">
      <c r="A44" s="7" t="n"/>
      <c r="B44" s="8" t="n"/>
      <c r="C44" s="7" t="n"/>
      <c r="D44" s="7" t="n"/>
      <c r="E44" s="8" t="n"/>
      <c r="F44" s="9" t="n"/>
      <c r="G44" s="10" t="n"/>
      <c r="H44" s="10" t="n"/>
      <c r="I44" s="11">
        <f>IF(OR(G44="",G44=0,H44=""),"",H44/G44)</f>
        <v/>
      </c>
      <c r="J44" s="12">
        <f>IF(I44="","",IF(I44&gt;=0.95,"ZIELONY",IF(I44&gt;=0.85,"ŻÓŁTY","CZERWONY")))</f>
        <v/>
      </c>
      <c r="K44" s="12">
        <f>IF(OR(I44="",F44=""),"",IF(I44&gt;=F44,"TAK","NIE"))</f>
        <v/>
      </c>
      <c r="L44" s="7" t="n"/>
      <c r="M44" s="8" t="n"/>
    </row>
    <row r="45">
      <c r="A45" s="7" t="n"/>
      <c r="B45" s="8" t="n"/>
      <c r="C45" s="7" t="n"/>
      <c r="D45" s="7" t="n"/>
      <c r="E45" s="8" t="n"/>
      <c r="F45" s="9" t="n"/>
      <c r="G45" s="10" t="n"/>
      <c r="H45" s="10" t="n"/>
      <c r="I45" s="11">
        <f>IF(OR(G45="",G45=0,H45=""),"",H45/G45)</f>
        <v/>
      </c>
      <c r="J45" s="12">
        <f>IF(I45="","",IF(I45&gt;=0.95,"ZIELONY",IF(I45&gt;=0.85,"ŻÓŁTY","CZERWONY")))</f>
        <v/>
      </c>
      <c r="K45" s="12">
        <f>IF(OR(I45="",F45=""),"",IF(I45&gt;=F45,"TAK","NIE"))</f>
        <v/>
      </c>
      <c r="L45" s="7" t="n"/>
      <c r="M45" s="8" t="n"/>
    </row>
    <row r="46">
      <c r="A46" s="7" t="n"/>
      <c r="B46" s="8" t="n"/>
      <c r="C46" s="7" t="n"/>
      <c r="D46" s="7" t="n"/>
      <c r="E46" s="8" t="n"/>
      <c r="F46" s="9" t="n"/>
      <c r="G46" s="10" t="n"/>
      <c r="H46" s="10" t="n"/>
      <c r="I46" s="11">
        <f>IF(OR(G46="",G46=0,H46=""),"",H46/G46)</f>
        <v/>
      </c>
      <c r="J46" s="12">
        <f>IF(I46="","",IF(I46&gt;=0.95,"ZIELONY",IF(I46&gt;=0.85,"ŻÓŁTY","CZERWONY")))</f>
        <v/>
      </c>
      <c r="K46" s="12">
        <f>IF(OR(I46="",F46=""),"",IF(I46&gt;=F46,"TAK","NIE"))</f>
        <v/>
      </c>
      <c r="L46" s="7" t="n"/>
      <c r="M46" s="8" t="n"/>
    </row>
    <row r="47">
      <c r="A47" s="7" t="n"/>
      <c r="B47" s="8" t="n"/>
      <c r="C47" s="7" t="n"/>
      <c r="D47" s="7" t="n"/>
      <c r="E47" s="8" t="n"/>
      <c r="F47" s="9" t="n"/>
      <c r="G47" s="10" t="n"/>
      <c r="H47" s="10" t="n"/>
      <c r="I47" s="11">
        <f>IF(OR(G47="",G47=0,H47=""),"",H47/G47)</f>
        <v/>
      </c>
      <c r="J47" s="12">
        <f>IF(I47="","",IF(I47&gt;=0.95,"ZIELONY",IF(I47&gt;=0.85,"ŻÓŁTY","CZERWONY")))</f>
        <v/>
      </c>
      <c r="K47" s="12">
        <f>IF(OR(I47="",F47=""),"",IF(I47&gt;=F47,"TAK","NIE"))</f>
        <v/>
      </c>
      <c r="L47" s="7" t="n"/>
      <c r="M47" s="8" t="n"/>
    </row>
    <row r="48">
      <c r="A48" s="7" t="n"/>
      <c r="B48" s="8" t="n"/>
      <c r="C48" s="7" t="n"/>
      <c r="D48" s="7" t="n"/>
      <c r="E48" s="8" t="n"/>
      <c r="F48" s="9" t="n"/>
      <c r="G48" s="10" t="n"/>
      <c r="H48" s="10" t="n"/>
      <c r="I48" s="11">
        <f>IF(OR(G48="",G48=0,H48=""),"",H48/G48)</f>
        <v/>
      </c>
      <c r="J48" s="12">
        <f>IF(I48="","",IF(I48&gt;=0.95,"ZIELONY",IF(I48&gt;=0.85,"ŻÓŁTY","CZERWONY")))</f>
        <v/>
      </c>
      <c r="K48" s="12">
        <f>IF(OR(I48="",F48=""),"",IF(I48&gt;=F48,"TAK","NIE"))</f>
        <v/>
      </c>
      <c r="L48" s="7" t="n"/>
      <c r="M48" s="8" t="n"/>
    </row>
    <row r="49">
      <c r="A49" s="7" t="n"/>
      <c r="B49" s="8" t="n"/>
      <c r="C49" s="7" t="n"/>
      <c r="D49" s="7" t="n"/>
      <c r="E49" s="8" t="n"/>
      <c r="F49" s="9" t="n"/>
      <c r="G49" s="10" t="n"/>
      <c r="H49" s="10" t="n"/>
      <c r="I49" s="11">
        <f>IF(OR(G49="",G49=0,H49=""),"",H49/G49)</f>
        <v/>
      </c>
      <c r="J49" s="12">
        <f>IF(I49="","",IF(I49&gt;=0.95,"ZIELONY",IF(I49&gt;=0.85,"ŻÓŁTY","CZERWONY")))</f>
        <v/>
      </c>
      <c r="K49" s="12">
        <f>IF(OR(I49="",F49=""),"",IF(I49&gt;=F49,"TAK","NIE"))</f>
        <v/>
      </c>
      <c r="L49" s="7" t="n"/>
      <c r="M49" s="8" t="n"/>
    </row>
    <row r="50">
      <c r="A50" s="7" t="n"/>
      <c r="B50" s="8" t="n"/>
      <c r="C50" s="7" t="n"/>
      <c r="D50" s="7" t="n"/>
      <c r="E50" s="8" t="n"/>
      <c r="F50" s="9" t="n"/>
      <c r="G50" s="10" t="n"/>
      <c r="H50" s="10" t="n"/>
      <c r="I50" s="11">
        <f>IF(OR(G50="",G50=0,H50=""),"",H50/G50)</f>
        <v/>
      </c>
      <c r="J50" s="12">
        <f>IF(I50="","",IF(I50&gt;=0.95,"ZIELONY",IF(I50&gt;=0.85,"ŻÓŁTY","CZERWONY")))</f>
        <v/>
      </c>
      <c r="K50" s="12">
        <f>IF(OR(I50="",F50=""),"",IF(I50&gt;=F50,"TAK","NIE"))</f>
        <v/>
      </c>
      <c r="L50" s="7" t="n"/>
      <c r="M50" s="8" t="n"/>
    </row>
    <row r="51">
      <c r="A51" s="7" t="n"/>
      <c r="B51" s="8" t="n"/>
      <c r="C51" s="7" t="n"/>
      <c r="D51" s="7" t="n"/>
      <c r="E51" s="8" t="n"/>
      <c r="F51" s="9" t="n"/>
      <c r="G51" s="10" t="n"/>
      <c r="H51" s="10" t="n"/>
      <c r="I51" s="11">
        <f>IF(OR(G51="",G51=0,H51=""),"",H51/G51)</f>
        <v/>
      </c>
      <c r="J51" s="12">
        <f>IF(I51="","",IF(I51&gt;=0.95,"ZIELONY",IF(I51&gt;=0.85,"ŻÓŁTY","CZERWONY")))</f>
        <v/>
      </c>
      <c r="K51" s="12">
        <f>IF(OR(I51="",F51=""),"",IF(I51&gt;=F51,"TAK","NIE"))</f>
        <v/>
      </c>
      <c r="L51" s="7" t="n"/>
      <c r="M51" s="8" t="n"/>
    </row>
    <row r="52">
      <c r="A52" s="7" t="n"/>
      <c r="B52" s="8" t="n"/>
      <c r="C52" s="7" t="n"/>
      <c r="D52" s="7" t="n"/>
      <c r="E52" s="8" t="n"/>
      <c r="F52" s="9" t="n"/>
      <c r="G52" s="10" t="n"/>
      <c r="H52" s="10" t="n"/>
      <c r="I52" s="11">
        <f>IF(OR(G52="",G52=0,H52=""),"",H52/G52)</f>
        <v/>
      </c>
      <c r="J52" s="12">
        <f>IF(I52="","",IF(I52&gt;=0.95,"ZIELONY",IF(I52&gt;=0.85,"ŻÓŁTY","CZERWONY")))</f>
        <v/>
      </c>
      <c r="K52" s="12">
        <f>IF(OR(I52="",F52=""),"",IF(I52&gt;=F52,"TAK","NIE"))</f>
        <v/>
      </c>
      <c r="L52" s="7" t="n"/>
      <c r="M52" s="8" t="n"/>
    </row>
    <row r="53">
      <c r="A53" s="7" t="n"/>
      <c r="B53" s="8" t="n"/>
      <c r="C53" s="7" t="n"/>
      <c r="D53" s="7" t="n"/>
      <c r="E53" s="8" t="n"/>
      <c r="F53" s="9" t="n"/>
      <c r="G53" s="10" t="n"/>
      <c r="H53" s="10" t="n"/>
      <c r="I53" s="11">
        <f>IF(OR(G53="",G53=0,H53=""),"",H53/G53)</f>
        <v/>
      </c>
      <c r="J53" s="12">
        <f>IF(I53="","",IF(I53&gt;=0.95,"ZIELONY",IF(I53&gt;=0.85,"ŻÓŁTY","CZERWONY")))</f>
        <v/>
      </c>
      <c r="K53" s="12">
        <f>IF(OR(I53="",F53=""),"",IF(I53&gt;=F53,"TAK","NIE"))</f>
        <v/>
      </c>
      <c r="L53" s="7" t="n"/>
      <c r="M53" s="8" t="n"/>
    </row>
    <row r="54">
      <c r="A54" s="7" t="n"/>
      <c r="B54" s="8" t="n"/>
      <c r="C54" s="7" t="n"/>
      <c r="D54" s="7" t="n"/>
      <c r="E54" s="8" t="n"/>
      <c r="F54" s="9" t="n"/>
      <c r="G54" s="10" t="n"/>
      <c r="H54" s="10" t="n"/>
      <c r="I54" s="11">
        <f>IF(OR(G54="",G54=0,H54=""),"",H54/G54)</f>
        <v/>
      </c>
      <c r="J54" s="12">
        <f>IF(I54="","",IF(I54&gt;=0.95,"ZIELONY",IF(I54&gt;=0.85,"ŻÓŁTY","CZERWONY")))</f>
        <v/>
      </c>
      <c r="K54" s="12">
        <f>IF(OR(I54="",F54=""),"",IF(I54&gt;=F54,"TAK","NIE"))</f>
        <v/>
      </c>
      <c r="L54" s="7" t="n"/>
      <c r="M54" s="8" t="n"/>
    </row>
  </sheetData>
  <conditionalFormatting sqref="J5:J54">
    <cfRule type="cellIs" priority="1" operator="equal" dxfId="0">
      <formula>"ZIELONY"</formula>
    </cfRule>
    <cfRule type="cellIs" priority="2" operator="equal" dxfId="1">
      <formula>"ŻÓŁTY"</formula>
    </cfRule>
    <cfRule type="cellIs" priority="3" operator="equal" dxfId="2">
      <formula>"CZERWONY"</formula>
    </cfRule>
  </conditionalFormatting>
  <conditionalFormatting sqref="K5:K54">
    <cfRule type="cellIs" priority="4" operator="equal" dxfId="0">
      <formula>"TAK"</formula>
    </cfRule>
    <cfRule type="cellIs" priority="5" operator="equal" dxfId="2">
      <formula>"NIE"</formula>
    </cfRule>
  </conditionalFormatting>
  <dataValidations count="3">
    <dataValidation sqref="C5:C54" showDropDown="0" showInputMessage="0" showErrorMessage="0" allowBlank="1" errorTitle="Nieprawidłowy wymiar" error="Wybierz jeden z sześciu wymiarów." type="list">
      <formula1>"Dokładność,Kompletność,Spójność,Aktualność,Unikalność,Zgodność formatu"</formula1>
    </dataValidation>
    <dataValidation sqref="F5:F54" showDropDown="0" showInputMessage="0" showErrorMessage="0" allowBlank="1" errorTitle="Nieprawidłowy próg" error="Podaj wartość 0–100% (np. 99,5%)." type="decimal" operator="between">
      <formula1>0</formula1>
      <formula2>1</formula2>
    </dataValidation>
    <dataValidation sqref="L5:L54" showDropDown="0" showInputMessage="0" showErrorMessage="0" allowBlank="1" type="list">
      <formula1>"dziennie,tygodniowo,miesięcznie,kwartalnie,przy ładowaniu"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5" t="inlineStr">
        <is>
          <t>Podsumowanie jakości danych</t>
        </is>
      </c>
    </row>
    <row r="3" ht="28" customHeight="1">
      <c r="A3" s="6" t="inlineStr">
        <is>
          <t>Wymiar</t>
        </is>
      </c>
      <c r="B3" s="6" t="inlineStr">
        <is>
          <t>Liczba reguł</t>
        </is>
      </c>
      <c r="C3" s="6" t="inlineStr">
        <is>
          <t>Średni wynik</t>
        </is>
      </c>
      <c r="D3" s="6" t="inlineStr">
        <is>
          <t>Status</t>
        </is>
      </c>
      <c r="E3" s="6" t="inlineStr">
        <is>
          <t>Reguł poniżej progu</t>
        </is>
      </c>
    </row>
    <row r="4">
      <c r="A4" s="13" t="inlineStr">
        <is>
          <t>Dokładność</t>
        </is>
      </c>
      <c r="B4" s="12">
        <f>COUNTIFS(Scorecard!$C$5:$C$54,A4,Scorecard!$I$5:$I$54,"&gt;=0")</f>
        <v/>
      </c>
      <c r="C4" s="11">
        <f>IFERROR(AVERAGEIFS(Scorecard!$I$5:$I$54,Scorecard!$C$5:$C$54,A4),"")</f>
        <v/>
      </c>
      <c r="D4" s="12">
        <f>IF(C4="","",IF(C4&gt;=0.95,"ZIELONY",IF(C4&gt;=0.85,"ŻÓŁTY","CZERWONY")))</f>
        <v/>
      </c>
      <c r="E4" s="12">
        <f>COUNTIFS(Scorecard!$C$5:$C$54,A4,Scorecard!$K$5:$K$54,"NIE")</f>
        <v/>
      </c>
    </row>
    <row r="5">
      <c r="A5" s="13" t="inlineStr">
        <is>
          <t>Kompletność</t>
        </is>
      </c>
      <c r="B5" s="12">
        <f>COUNTIFS(Scorecard!$C$5:$C$54,A5,Scorecard!$I$5:$I$54,"&gt;=0")</f>
        <v/>
      </c>
      <c r="C5" s="11">
        <f>IFERROR(AVERAGEIFS(Scorecard!$I$5:$I$54,Scorecard!$C$5:$C$54,A5),"")</f>
        <v/>
      </c>
      <c r="D5" s="12">
        <f>IF(C5="","",IF(C5&gt;=0.95,"ZIELONY",IF(C5&gt;=0.85,"ŻÓŁTY","CZERWONY")))</f>
        <v/>
      </c>
      <c r="E5" s="12">
        <f>COUNTIFS(Scorecard!$C$5:$C$54,A5,Scorecard!$K$5:$K$54,"NIE")</f>
        <v/>
      </c>
    </row>
    <row r="6">
      <c r="A6" s="13" t="inlineStr">
        <is>
          <t>Spójność</t>
        </is>
      </c>
      <c r="B6" s="12">
        <f>COUNTIFS(Scorecard!$C$5:$C$54,A6,Scorecard!$I$5:$I$54,"&gt;=0")</f>
        <v/>
      </c>
      <c r="C6" s="11">
        <f>IFERROR(AVERAGEIFS(Scorecard!$I$5:$I$54,Scorecard!$C$5:$C$54,A6),"")</f>
        <v/>
      </c>
      <c r="D6" s="12">
        <f>IF(C6="","",IF(C6&gt;=0.95,"ZIELONY",IF(C6&gt;=0.85,"ŻÓŁTY","CZERWONY")))</f>
        <v/>
      </c>
      <c r="E6" s="12">
        <f>COUNTIFS(Scorecard!$C$5:$C$54,A6,Scorecard!$K$5:$K$54,"NIE")</f>
        <v/>
      </c>
    </row>
    <row r="7">
      <c r="A7" s="13" t="inlineStr">
        <is>
          <t>Aktualność</t>
        </is>
      </c>
      <c r="B7" s="12">
        <f>COUNTIFS(Scorecard!$C$5:$C$54,A7,Scorecard!$I$5:$I$54,"&gt;=0")</f>
        <v/>
      </c>
      <c r="C7" s="11">
        <f>IFERROR(AVERAGEIFS(Scorecard!$I$5:$I$54,Scorecard!$C$5:$C$54,A7),"")</f>
        <v/>
      </c>
      <c r="D7" s="12">
        <f>IF(C7="","",IF(C7&gt;=0.95,"ZIELONY",IF(C7&gt;=0.85,"ŻÓŁTY","CZERWONY")))</f>
        <v/>
      </c>
      <c r="E7" s="12">
        <f>COUNTIFS(Scorecard!$C$5:$C$54,A7,Scorecard!$K$5:$K$54,"NIE")</f>
        <v/>
      </c>
    </row>
    <row r="8">
      <c r="A8" s="13" t="inlineStr">
        <is>
          <t>Unikalność</t>
        </is>
      </c>
      <c r="B8" s="12">
        <f>COUNTIFS(Scorecard!$C$5:$C$54,A8,Scorecard!$I$5:$I$54,"&gt;=0")</f>
        <v/>
      </c>
      <c r="C8" s="11">
        <f>IFERROR(AVERAGEIFS(Scorecard!$I$5:$I$54,Scorecard!$C$5:$C$54,A8),"")</f>
        <v/>
      </c>
      <c r="D8" s="12">
        <f>IF(C8="","",IF(C8&gt;=0.95,"ZIELONY",IF(C8&gt;=0.85,"ŻÓŁTY","CZERWONY")))</f>
        <v/>
      </c>
      <c r="E8" s="12">
        <f>COUNTIFS(Scorecard!$C$5:$C$54,A8,Scorecard!$K$5:$K$54,"NIE")</f>
        <v/>
      </c>
    </row>
    <row r="9">
      <c r="A9" s="13" t="inlineStr">
        <is>
          <t>Zgodność formatu</t>
        </is>
      </c>
      <c r="B9" s="12">
        <f>COUNTIFS(Scorecard!$C$5:$C$54,A9,Scorecard!$I$5:$I$54,"&gt;=0")</f>
        <v/>
      </c>
      <c r="C9" s="11">
        <f>IFERROR(AVERAGEIFS(Scorecard!$I$5:$I$54,Scorecard!$C$5:$C$54,A9),"")</f>
        <v/>
      </c>
      <c r="D9" s="12">
        <f>IF(C9="","",IF(C9&gt;=0.95,"ZIELONY",IF(C9&gt;=0.85,"ŻÓŁTY","CZERWONY")))</f>
        <v/>
      </c>
      <c r="E9" s="12">
        <f>COUNTIFS(Scorecard!$C$5:$C$54,A9,Scorecard!$K$5:$K$54,"NIE")</f>
        <v/>
      </c>
    </row>
    <row r="10">
      <c r="A10" s="14" t="inlineStr">
        <is>
          <t>Ogółem</t>
        </is>
      </c>
      <c r="B10" s="15">
        <f>SUM(B4:B9)</f>
        <v/>
      </c>
      <c r="C10" s="16">
        <f>IFERROR(AVERAGE(Scorecard!$I$5:$I$54),"")</f>
        <v/>
      </c>
      <c r="D10" s="15">
        <f>IF(C10="","",IF(C10&gt;=0.95,"ZIELONY",IF(C10&gt;=0.85,"ŻÓŁTY","CZERWONY")))</f>
        <v/>
      </c>
      <c r="E10" s="15">
        <f>SUM(E4:E9)</f>
        <v/>
      </c>
    </row>
    <row r="12">
      <c r="A12" s="2" t="inlineStr">
        <is>
          <t>Średnia liczy się tylko z reguł z wypełnioną liczbą rekordów. Przykłady ze Scorecard wliczają się, dopóki ich nie nadpiszesz.</t>
        </is>
      </c>
    </row>
  </sheetData>
  <conditionalFormatting sqref="D4:D10">
    <cfRule type="cellIs" priority="1" operator="equal" dxfId="0">
      <formula>"ZIELONY"</formula>
    </cfRule>
    <cfRule type="cellIs" priority="2" operator="equal" dxfId="1">
      <formula>"ŻÓŁTY"</formula>
    </cfRule>
    <cfRule type="cellIs" priority="3" operator="equal" dxfId="2">
      <formula>"CZERWONY"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44" customWidth="1" min="3" max="3"/>
    <col width="70" customWidth="1" min="4" max="4"/>
  </cols>
  <sheetData>
    <row r="1">
      <c r="A1" s="6" t="inlineStr">
        <is>
          <t>Wymiar</t>
        </is>
      </c>
      <c r="B1" s="6" t="inlineStr">
        <is>
          <t>Pytanie kontrolne</t>
        </is>
      </c>
      <c r="C1" s="6" t="inlineStr">
        <is>
          <t>Wzór metryki</t>
        </is>
      </c>
      <c r="D1" s="6" t="inlineStr">
        <is>
          <t>Jak mierzyć / uwagi</t>
        </is>
      </c>
    </row>
    <row r="2" ht="62" customHeight="1">
      <c r="A2" s="17" t="inlineStr">
        <is>
          <t>Dokładność</t>
        </is>
      </c>
      <c r="B2" s="18" t="inlineStr">
        <is>
          <t>Czy dane odzwierciedlają rzeczywistość?</t>
        </is>
      </c>
      <c r="C2" s="18" t="inlineStr">
        <is>
          <t>rekordów poprawnych / rekordów ogółem × 100%</t>
        </is>
      </c>
      <c r="D2" s="18" t="inlineStr">
        <is>
          <t>Porównanie ze źródłem referencyjnym (GUS, REGON, KRS), próbkowanie, reguły walidacyjne (np. suma kontrolna PESEL)</t>
        </is>
      </c>
    </row>
    <row r="3" ht="62" customHeight="1">
      <c r="A3" s="17" t="inlineStr">
        <is>
          <t>Kompletność</t>
        </is>
      </c>
      <c r="B3" s="18" t="inlineStr">
        <is>
          <t>Czy wymagane pola i rekordy są obecne?</t>
        </is>
      </c>
      <c r="C3" s="18" t="inlineStr">
        <is>
          <t>pól niepustych / pól wymaganych × 100%</t>
        </is>
      </c>
      <c r="D3" s="18" t="inlineStr">
        <is>
          <t>Poziomy: atrybut, rekord, zbiór. Mierz tylko pola wymagane biznesowo.</t>
        </is>
      </c>
    </row>
    <row r="4" ht="62" customHeight="1">
      <c r="A4" s="17" t="inlineStr">
        <is>
          <t>Spójność</t>
        </is>
      </c>
      <c r="B4" s="18" t="inlineStr">
        <is>
          <t>Czy te same dane mają tę samą wartość w różnych systemach?</t>
        </is>
      </c>
      <c r="C4" s="18" t="inlineStr">
        <is>
          <t>rekordów spójnych między systemami / rekordów ogółem × 100%</t>
        </is>
      </c>
      <c r="D4" s="18" t="inlineStr">
        <is>
          <t>Typy: między systemami (CRM/ERP/DWH), w obrębie rekordu (kod pocztowy vs miasto), w czasie.</t>
        </is>
      </c>
    </row>
    <row r="5" ht="62" customHeight="1">
      <c r="A5" s="17" t="inlineStr">
        <is>
          <t>Aktualność</t>
        </is>
      </c>
      <c r="B5" s="18" t="inlineStr">
        <is>
          <t>Czy dane odzwierciedlają bieżący stan?</t>
        </is>
      </c>
      <c r="C5" s="18" t="inlineStr">
        <is>
          <t>rekordów aktualnych / rekordów ogółem × 100%  (lub średni czas od zdarzenia do dostępności)</t>
        </is>
      </c>
      <c r="D5" s="18" t="inlineStr">
        <is>
          <t>Dwa aspekty: świeżość (jak szybko dane trafiają do systemu) i ważność (czy nadal są prawdziwe).</t>
        </is>
      </c>
    </row>
    <row r="6" ht="62" customHeight="1">
      <c r="A6" s="17" t="inlineStr">
        <is>
          <t>Unikalność</t>
        </is>
      </c>
      <c r="B6" s="18" t="inlineStr">
        <is>
          <t>Czy każdy byt występuje dokładnie raz?</t>
        </is>
      </c>
      <c r="C6" s="18" t="inlineStr">
        <is>
          <t>rekordów unikalnych / rekordów ogółem × 100%</t>
        </is>
      </c>
      <c r="D6" s="18" t="inlineStr">
        <is>
          <t>Duplikaty zaburzają agregacje i utrudniają budowę golden record w MDM.</t>
        </is>
      </c>
    </row>
    <row r="7" ht="62" customHeight="1">
      <c r="A7" s="17" t="inlineStr">
        <is>
          <t>Zgodność formatu</t>
        </is>
      </c>
      <c r="B7" s="18" t="inlineStr">
        <is>
          <t>Czy dane pasują do schematu, formatu i zakresu?</t>
        </is>
      </c>
      <c r="C7" s="18" t="inlineStr">
        <is>
          <t>rekordów zgodnych z regułami / rekordów ogółem × 100%</t>
        </is>
      </c>
      <c r="D7" s="18" t="inlineStr">
        <is>
          <t>Np. e-mail z @ i domeną, kod pocztowy XX-XXX, kwota &gt; 0, data urodzenia nie z przyszłości.</t>
        </is>
      </c>
    </row>
    <row r="9">
      <c r="A9" s="2" t="inlineStr">
        <is>
          <t>Szerzej o wymiarach: skszymon.eu/blog/2026/data-quality-dimensions/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2026-10-07T10:13:04Z</dcterms:created>
  <dcterms:modified xmlns:dcterms="http://purl.org/dc/terms/" xmlns:xsi="http://www.w3.org/2001/XMLSchema-instance" xsi:type="dcterms:W3CDTF">2026-10-07T10:13:04Z</dcterms:modified>
</cp:coreProperties>
</file>